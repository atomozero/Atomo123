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Budget" sheetId="2" state="visible" r:id="rId2"/>
    <sheet name="Products" sheetId="3" state="visible" r:id="rId3"/>
    <sheet name="Charts" sheetId="4" state="visible" r:id="rId4"/>
    <sheet name="Advanced Functions" sheetId="5" state="visible" r:id="rId5"/>
  </sheets>
  <definedNames>
    <definedName name="Income2026">Budget!$B$2:$B$13</definedName>
    <definedName name="_xlnm.Print_Area" localSheetId="2">'Products'!$A$1:$F$10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1F6F6B"/>
      <sz val="12"/>
    </font>
    <font>
      <i val="1"/>
      <color rgb="00222222"/>
    </font>
    <font>
      <b val="1"/>
      <color rgb="001F6F6B"/>
    </font>
    <font>
      <color rgb="00222222"/>
    </font>
    <font>
      <i val="1"/>
      <color rgb="00808080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6B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double">
        <color rgb="00222222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8" fillId="0" borderId="2" pivotButton="0" quotePrefix="0" xfId="0"/>
    <xf numFmtId="164" fontId="8" fillId="0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>
          <bgColor rgb="00FFE9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Income, expenses and balance 2026</a:t>
            </a:r>
          </a:p>
        </rich>
      </tx>
    </title>
    <plotArea>
      <lineChart>
        <grouping val="standard"/>
        <ser>
          <idx val="0"/>
          <order val="0"/>
          <tx>
            <strRef>
              <f>'Budget'!B1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'Budget'!$A$2:$A$13</f>
            </numRef>
          </cat>
          <val>
            <numRef>
              <f>'Budget'!$B$2:$B$13</f>
            </numRef>
          </val>
        </ser>
        <ser>
          <idx val="1"/>
          <order val="1"/>
          <tx>
            <strRef>
              <f>'Budget'!C1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'Budget'!$A$2:$A$13</f>
            </numRef>
          </cat>
          <val>
            <numRef>
              <f>'Budget'!$C$2:$C$13</f>
            </numRef>
          </val>
        </ser>
        <ser>
          <idx val="2"/>
          <order val="2"/>
          <tx>
            <strRef>
              <f>'Budget'!D1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'Budget'!$A$2:$A$13</f>
            </numRef>
          </cat>
          <val>
            <numRef>
              <f>'Budget'!$D$2:$D$13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Atomo123</author>
  </authors>
  <commentList>
    <comment ref="F1" authorId="0" shapeId="0">
      <text>
        <t>Automatically calculated as Price x Quantity.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18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s" displayName="Products" ref="A1:F10" headerRowCount="1" totalsRowCount="1">
  <tableColumns count="6">
    <tableColumn id="1" name="Code"/>
    <tableColumn id="2" name="Product"/>
    <tableColumn id="3" name="Category"/>
    <tableColumn id="4" name="Price"/>
    <tableColumn id="5" name="Quantity"/>
    <tableColumn id="6" name="Total" totalsRowFunction="su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58" customWidth="1" min="3" max="3"/>
  </cols>
  <sheetData>
    <row r="2" ht="40" customHeight="1">
      <c r="B2" s="1" t="inlineStr">
        <is>
          <t>Welcome to Atomo123</t>
        </is>
      </c>
    </row>
    <row r="3" ht="22" customHeight="1">
      <c r="B3" s="2" t="inlineStr">
        <is>
          <t>The native spreadsheet for Haiku OS</t>
        </is>
      </c>
    </row>
    <row r="5">
      <c r="B5" s="3" t="inlineStr">
        <is>
          <t>This file is installed together with the application and is a short tour of its features:</t>
        </is>
      </c>
    </row>
    <row r="7">
      <c r="B7" s="4" t="inlineStr">
        <is>
          <t>Budget</t>
        </is>
      </c>
      <c r="C7" s="5" t="inlineStr">
        <is>
          <t>Formulas, a defined name, color-scale conditional formatting, frozen panes, a line chart</t>
        </is>
      </c>
    </row>
    <row r="8">
      <c r="B8" s="4" t="inlineStr">
        <is>
          <t>Products</t>
        </is>
      </c>
      <c r="C8" s="5" t="inlineStr">
        <is>
          <t>A real Excel structured table with a totals row, list-based data validation, a comment</t>
        </is>
      </c>
    </row>
    <row r="9">
      <c r="B9" s="4" t="inlineStr">
        <is>
          <t>Charts</t>
        </is>
      </c>
      <c r="C9" s="5" t="inlineStr">
        <is>
          <t>Bar and pie chart</t>
        </is>
      </c>
    </row>
    <row r="10">
      <c r="B10" s="4" t="inlineStr">
        <is>
          <t>Advanced functions</t>
        </is>
      </c>
      <c r="C10" s="5" t="inlineStr">
        <is>
          <t>UNIQUE, SORT, FILTER, SEQUENCE, INDEX/MATCH, a reference across different sheets</t>
        </is>
      </c>
    </row>
    <row r="12">
      <c r="B12" s="6" t="inlineStr">
        <is>
          <t>Opened/saved/edited entirely here, without touching Excel or LibreOffice.</t>
        </is>
      </c>
    </row>
  </sheetData>
  <mergeCells count="4">
    <mergeCell ref="B3:C3"/>
    <mergeCell ref="B5:C5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</cols>
  <sheetData>
    <row r="1">
      <c r="A1" s="7" t="inlineStr">
        <is>
          <t>Month</t>
        </is>
      </c>
      <c r="B1" s="7" t="inlineStr">
        <is>
          <t>Income</t>
        </is>
      </c>
      <c r="C1" s="7" t="inlineStr">
        <is>
          <t>Expenses</t>
        </is>
      </c>
      <c r="D1" s="7" t="inlineStr">
        <is>
          <t>Balance</t>
        </is>
      </c>
    </row>
    <row r="2">
      <c r="A2" s="8" t="inlineStr">
        <is>
          <t>January</t>
        </is>
      </c>
      <c r="B2" s="9" t="n">
        <v>2400</v>
      </c>
      <c r="C2" s="9" t="n">
        <v>1800</v>
      </c>
      <c r="D2" s="9">
        <f>B2-C2</f>
        <v/>
      </c>
    </row>
    <row r="3">
      <c r="A3" s="8" t="inlineStr">
        <is>
          <t>February</t>
        </is>
      </c>
      <c r="B3" s="9" t="n">
        <v>2400</v>
      </c>
      <c r="C3" s="9" t="n">
        <v>2000</v>
      </c>
      <c r="D3" s="9">
        <f>B3-C3</f>
        <v/>
      </c>
    </row>
    <row r="4">
      <c r="A4" s="8" t="inlineStr">
        <is>
          <t>March</t>
        </is>
      </c>
      <c r="B4" s="9" t="n">
        <v>2600</v>
      </c>
      <c r="C4" s="9" t="n">
        <v>1700</v>
      </c>
      <c r="D4" s="9">
        <f>B4-C4</f>
        <v/>
      </c>
    </row>
    <row r="5">
      <c r="A5" s="8" t="inlineStr">
        <is>
          <t>April</t>
        </is>
      </c>
      <c r="B5" s="9" t="n">
        <v>2400</v>
      </c>
      <c r="C5" s="9" t="n">
        <v>2300</v>
      </c>
      <c r="D5" s="9">
        <f>B5-C5</f>
        <v/>
      </c>
    </row>
    <row r="6">
      <c r="A6" s="8" t="inlineStr">
        <is>
          <t>May</t>
        </is>
      </c>
      <c r="B6" s="9" t="n">
        <v>2900</v>
      </c>
      <c r="C6" s="9" t="n">
        <v>1900</v>
      </c>
      <c r="D6" s="9">
        <f>B6-C6</f>
        <v/>
      </c>
    </row>
    <row r="7">
      <c r="A7" s="8" t="inlineStr">
        <is>
          <t>June</t>
        </is>
      </c>
      <c r="B7" s="9" t="n">
        <v>2400</v>
      </c>
      <c r="C7" s="9" t="n">
        <v>2600</v>
      </c>
      <c r="D7" s="9">
        <f>B7-C7</f>
        <v/>
      </c>
    </row>
    <row r="8">
      <c r="A8" s="8" t="inlineStr">
        <is>
          <t>July</t>
        </is>
      </c>
      <c r="B8" s="9" t="n">
        <v>2400</v>
      </c>
      <c r="C8" s="9" t="n">
        <v>2100</v>
      </c>
      <c r="D8" s="9">
        <f>B8-C8</f>
        <v/>
      </c>
    </row>
    <row r="9">
      <c r="A9" s="8" t="inlineStr">
        <is>
          <t>August</t>
        </is>
      </c>
      <c r="B9" s="9" t="n">
        <v>1800</v>
      </c>
      <c r="C9" s="9" t="n">
        <v>1500</v>
      </c>
      <c r="D9" s="9">
        <f>B9-C9</f>
        <v/>
      </c>
    </row>
    <row r="10">
      <c r="A10" s="8" t="inlineStr">
        <is>
          <t>September</t>
        </is>
      </c>
      <c r="B10" s="9" t="n">
        <v>2500</v>
      </c>
      <c r="C10" s="9" t="n">
        <v>1900</v>
      </c>
      <c r="D10" s="9">
        <f>B10-C10</f>
        <v/>
      </c>
    </row>
    <row r="11">
      <c r="A11" s="8" t="inlineStr">
        <is>
          <t>October</t>
        </is>
      </c>
      <c r="B11" s="9" t="n">
        <v>2400</v>
      </c>
      <c r="C11" s="9" t="n">
        <v>2000</v>
      </c>
      <c r="D11" s="9">
        <f>B11-C11</f>
        <v/>
      </c>
    </row>
    <row r="12">
      <c r="A12" s="8" t="inlineStr">
        <is>
          <t>November</t>
        </is>
      </c>
      <c r="B12" s="9" t="n">
        <v>2400</v>
      </c>
      <c r="C12" s="9" t="n">
        <v>2200</v>
      </c>
      <c r="D12" s="9">
        <f>B12-C12</f>
        <v/>
      </c>
    </row>
    <row r="13">
      <c r="A13" s="8" t="inlineStr">
        <is>
          <t>December</t>
        </is>
      </c>
      <c r="B13" s="9" t="n">
        <v>3200</v>
      </c>
      <c r="C13" s="9" t="n">
        <v>2800</v>
      </c>
      <c r="D13" s="9">
        <f>B13-C13</f>
        <v/>
      </c>
    </row>
    <row r="14">
      <c r="A14" s="10" t="inlineStr">
        <is>
          <t>Annual total</t>
        </is>
      </c>
      <c r="B14" s="11">
        <f>SUM(Income2026)</f>
        <v/>
      </c>
      <c r="C14" s="11">
        <f>SUM(C2:C13)</f>
        <v/>
      </c>
      <c r="D14" s="11">
        <f>B14-C14</f>
        <v/>
      </c>
    </row>
  </sheetData>
  <conditionalFormatting sqref="D2:D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12" customWidth="1" min="4" max="4"/>
    <col width="12" customWidth="1" min="5" max="5"/>
    <col width="13" customWidth="1" min="6" max="6"/>
  </cols>
  <sheetData>
    <row r="1">
      <c r="A1" t="inlineStr">
        <is>
          <t>Code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Total</t>
        </is>
      </c>
    </row>
    <row r="2">
      <c r="A2" t="inlineStr">
        <is>
          <t>P001</t>
        </is>
      </c>
      <c r="B2" t="inlineStr">
        <is>
          <t>Mechanical keyboard</t>
        </is>
      </c>
      <c r="C2" t="inlineStr">
        <is>
          <t>Electronics</t>
        </is>
      </c>
      <c r="D2" s="12" t="n">
        <v>79.90000000000001</v>
      </c>
      <c r="E2" t="n">
        <v>12</v>
      </c>
      <c r="F2" s="12">
        <f>D2*E2</f>
        <v/>
      </c>
    </row>
    <row r="3">
      <c r="A3" t="inlineStr">
        <is>
          <t>P002</t>
        </is>
      </c>
      <c r="B3" t="inlineStr">
        <is>
          <t>Optical mouse</t>
        </is>
      </c>
      <c r="C3" t="inlineStr">
        <is>
          <t>Electronics</t>
        </is>
      </c>
      <c r="D3" s="12" t="n">
        <v>19.9</v>
      </c>
      <c r="E3" t="n">
        <v>30</v>
      </c>
      <c r="F3" s="12">
        <f>D3*E3</f>
        <v/>
      </c>
    </row>
    <row r="4">
      <c r="A4" t="inlineStr">
        <is>
          <t>P003</t>
        </is>
      </c>
      <c r="B4" t="inlineStr">
        <is>
          <t>Office chair</t>
        </is>
      </c>
      <c r="C4" t="inlineStr">
        <is>
          <t>Home</t>
        </is>
      </c>
      <c r="D4" s="12" t="n">
        <v>149</v>
      </c>
      <c r="E4" t="n">
        <v>6</v>
      </c>
      <c r="F4" s="12">
        <f>D4*E4</f>
        <v/>
      </c>
    </row>
    <row r="5">
      <c r="A5" t="inlineStr">
        <is>
          <t>P004</t>
        </is>
      </c>
      <c r="B5" t="inlineStr">
        <is>
          <t>Adjustable desk</t>
        </is>
      </c>
      <c r="C5" t="inlineStr">
        <is>
          <t>Home</t>
        </is>
      </c>
      <c r="D5" s="12" t="n">
        <v>259</v>
      </c>
      <c r="E5" t="n">
        <v>4</v>
      </c>
      <c r="F5" s="12">
        <f>D5*E5</f>
        <v/>
      </c>
    </row>
    <row r="6">
      <c r="A6" t="inlineStr">
        <is>
          <t>P005</t>
        </is>
      </c>
      <c r="B6" t="inlineStr">
        <is>
          <t>Ground coffee 1kg</t>
        </is>
      </c>
      <c r="C6" t="inlineStr">
        <is>
          <t>Groceries</t>
        </is>
      </c>
      <c r="D6" s="12" t="n">
        <v>9.9</v>
      </c>
      <c r="E6" t="n">
        <v>50</v>
      </c>
      <c r="F6" s="12">
        <f>D6*E6</f>
        <v/>
      </c>
    </row>
    <row r="7">
      <c r="A7" t="inlineStr">
        <is>
          <t>P006</t>
        </is>
      </c>
      <c r="B7" t="inlineStr">
        <is>
          <t>Green tea 20 bags</t>
        </is>
      </c>
      <c r="C7" t="inlineStr">
        <is>
          <t>Groceries</t>
        </is>
      </c>
      <c r="D7" s="12" t="n">
        <v>3.5</v>
      </c>
      <c r="E7" t="n">
        <v>40</v>
      </c>
      <c r="F7" s="12">
        <f>D7*E7</f>
        <v/>
      </c>
    </row>
    <row r="8">
      <c r="A8" t="inlineStr">
        <is>
          <t>P007</t>
        </is>
      </c>
      <c r="B8" t="inlineStr">
        <is>
          <t>Laptop backpack</t>
        </is>
      </c>
      <c r="C8" t="inlineStr">
        <is>
          <t>Clothing</t>
        </is>
      </c>
      <c r="D8" s="12" t="n">
        <v>39.9</v>
      </c>
      <c r="E8" t="n">
        <v>15</v>
      </c>
      <c r="F8" s="12">
        <f>D8*E8</f>
        <v/>
      </c>
    </row>
    <row r="9">
      <c r="A9" t="inlineStr">
        <is>
          <t>P008</t>
        </is>
      </c>
      <c r="B9" t="inlineStr">
        <is>
          <t>Hoodie</t>
        </is>
      </c>
      <c r="C9" t="inlineStr">
        <is>
          <t>Clothing</t>
        </is>
      </c>
      <c r="D9" s="12" t="n">
        <v>34.9</v>
      </c>
      <c r="E9" t="n">
        <v>20</v>
      </c>
      <c r="F9" s="12">
        <f>D9*E9</f>
        <v/>
      </c>
    </row>
    <row r="10">
      <c r="A10" t="inlineStr">
        <is>
          <t>Total</t>
        </is>
      </c>
      <c r="F10" s="12">
        <f>SUBTOTAL(109,Products[Total])</f>
        <v/>
      </c>
    </row>
  </sheetData>
  <conditionalFormatting sqref="C2:C9">
    <cfRule type="duplicateValues" priority="1" dxfId="0"/>
  </conditionalFormatting>
  <dataValidations count="1">
    <dataValidation sqref="C2:C9" showDropDown="0" showInputMessage="0" showErrorMessage="0" allowBlank="1" error="Scegli una categoria dall'elenco" prompt="Seleziona una categoria" type="list">
      <formula1>"Electronics,Home,Groceries,Clothing"</formula1>
    </dataValidation>
  </dataValidations>
  <pageMargins left="1.5" right="1.5" top="2" bottom="2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Category</t>
        </is>
      </c>
      <c r="B1" t="inlineStr">
        <is>
          <t>Sales</t>
        </is>
      </c>
    </row>
    <row r="2">
      <c r="A2" t="inlineStr">
        <is>
          <t>Electronics</t>
        </is>
      </c>
      <c r="B2" t="n">
        <v>5380</v>
      </c>
    </row>
    <row r="3">
      <c r="A3" t="inlineStr">
        <is>
          <t>Home</t>
        </is>
      </c>
      <c r="B3" t="n">
        <v>1930</v>
      </c>
    </row>
    <row r="4">
      <c r="A4" t="inlineStr">
        <is>
          <t>Groceries</t>
        </is>
      </c>
      <c r="B4" t="n">
        <v>635</v>
      </c>
    </row>
    <row r="5">
      <c r="A5" t="inlineStr">
        <is>
          <t>Clothing</t>
        </is>
      </c>
      <c r="B5" t="n">
        <v>1295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20" customWidth="1" min="4" max="4"/>
    <col width="24" customWidth="1" min="6" max="6"/>
    <col width="20" customWidth="1" min="9" max="9"/>
    <col width="14" customWidth="1" min="11" max="11"/>
  </cols>
  <sheetData>
    <row r="1">
      <c r="A1" t="inlineStr">
        <is>
          <t>Name</t>
        </is>
      </c>
      <c r="B1" t="inlineStr">
        <is>
          <t>Score</t>
        </is>
      </c>
      <c r="D1" t="inlineStr">
        <is>
          <t>Unique names (UNIQUE)</t>
        </is>
      </c>
      <c r="F1" t="inlineStr">
        <is>
          <t>Sorted by score (SORT)</t>
        </is>
      </c>
      <c r="H1" t="inlineStr">
        <is>
          <t>&gt;= 20?</t>
        </is>
      </c>
      <c r="I1" t="inlineStr">
        <is>
          <t>Score &gt;= 20 (FILTER)</t>
        </is>
      </c>
      <c r="K1" t="inlineStr">
        <is>
          <t>Sequence (SEQUENCE)</t>
        </is>
      </c>
    </row>
    <row r="2">
      <c r="A2" t="inlineStr">
        <is>
          <t>Marco</t>
        </is>
      </c>
      <c r="B2" t="n">
        <v>18</v>
      </c>
      <c r="D2">
        <f>_xlfn.UNIQUE(A2:A8)</f>
        <v/>
      </c>
      <c r="F2">
        <f>_xlfn.SORT(A2:B8,2,-1)</f>
        <v/>
      </c>
      <c r="H2">
        <f>B2&gt;=20</f>
        <v/>
      </c>
      <c r="I2">
        <f>_xlfn._xlws.FILTER(A2:A8,H2:H8)</f>
        <v/>
      </c>
      <c r="K2">
        <f>_xlfn.SEQUENCE(5)</f>
        <v/>
      </c>
    </row>
    <row r="3">
      <c r="A3" t="inlineStr">
        <is>
          <t>Giulia</t>
        </is>
      </c>
      <c r="B3" t="n">
        <v>25</v>
      </c>
      <c r="H3">
        <f>B3&gt;=20</f>
        <v/>
      </c>
    </row>
    <row r="4">
      <c r="A4" t="inlineStr">
        <is>
          <t>Marco</t>
        </is>
      </c>
      <c r="B4" t="n">
        <v>18</v>
      </c>
      <c r="H4">
        <f>B4&gt;=20</f>
        <v/>
      </c>
    </row>
    <row r="5">
      <c r="A5" t="inlineStr">
        <is>
          <t>Elena</t>
        </is>
      </c>
      <c r="B5" t="n">
        <v>30</v>
      </c>
      <c r="H5">
        <f>B5&gt;=20</f>
        <v/>
      </c>
    </row>
    <row r="6">
      <c r="A6" t="inlineStr">
        <is>
          <t>Luca</t>
        </is>
      </c>
      <c r="B6" t="n">
        <v>12</v>
      </c>
      <c r="H6">
        <f>B6&gt;=20</f>
        <v/>
      </c>
    </row>
    <row r="7">
      <c r="A7" t="inlineStr">
        <is>
          <t>Giulia</t>
        </is>
      </c>
      <c r="B7" t="n">
        <v>25</v>
      </c>
      <c r="H7">
        <f>B7&gt;=20</f>
        <v/>
      </c>
    </row>
    <row r="8">
      <c r="A8" t="inlineStr">
        <is>
          <t>Sara</t>
        </is>
      </c>
      <c r="B8" t="n">
        <v>27</v>
      </c>
      <c r="H8">
        <f>B8&gt;=20</f>
        <v/>
      </c>
    </row>
    <row r="11">
      <c r="A11" t="inlineStr">
        <is>
          <t>Score for Elena (INDEX/MATCH):</t>
        </is>
      </c>
      <c r="C11">
        <f>INDEX(B2:B8,MATCH("Elena",A2:A8,0))</f>
        <v/>
      </c>
    </row>
    <row r="13">
      <c r="A13" t="inlineStr">
        <is>
          <t>Annual balance (from the 'Budget' sheet):</t>
        </is>
      </c>
      <c r="C13" s="12">
        <f>Budget!B14-Budget!C14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Atomo123</dc:creator>
  <dc:title>Benvenuto in Atomo123</dc:title>
  <dc:description>File dimostrativo installato insieme ad Atomo123, il foglio di calcolo nativo per Haiku OS.</dc:description>
  <dc:subject>File dimostrativo</dc:subject>
  <dcterms:created xsi:type="dcterms:W3CDTF">2026-09-12T08:03:32Z</dcterms:created>
  <dcterms:modified xsi:type="dcterms:W3CDTF">2026-09-13T09:38:54Z</dcterms:modified>
</cp:coreProperties>
</file>