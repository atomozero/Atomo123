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envenuto" sheetId="1" state="visible" r:id="rId1"/>
    <sheet name="Bilancio" sheetId="2" state="visible" r:id="rId2"/>
    <sheet name="Prodotti" sheetId="3" state="visible" r:id="rId3"/>
    <sheet name="Grafici" sheetId="4" state="visible" r:id="rId4"/>
    <sheet name="Funzioni avanzate" sheetId="5" state="visible" r:id="rId5"/>
  </sheets>
  <definedNames>
    <definedName name="Entrate2026">Bilancio!$B$2:$B$13</definedName>
    <definedName name="_xlnm.Print_Area" localSheetId="2">'Prodotti'!$A$1:$F$10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2"/>
    </font>
    <font>
      <name val="Calibri"/>
      <i val="1"/>
      <color rgb="001F6F6B"/>
      <sz val="12"/>
    </font>
    <font>
      <i val="1"/>
      <color rgb="00222222"/>
    </font>
    <font>
      <b val="1"/>
      <color rgb="001F6F6B"/>
    </font>
    <font>
      <color rgb="00222222"/>
    </font>
    <font>
      <i val="1"/>
      <color rgb="00808080"/>
      <sz val="10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6F6B"/>
      </patternFill>
    </fill>
  </fills>
  <borders count="3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top style="double">
        <color rgb="00222222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wrapText="1"/>
    </xf>
    <xf numFmtId="0" fontId="6" fillId="0" borderId="0" pivotButton="0" quotePrefix="0" xfId="0"/>
    <xf numFmtId="0" fontId="7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8" fillId="0" borderId="2" pivotButton="0" quotePrefix="0" xfId="0"/>
    <xf numFmtId="164" fontId="8" fillId="0" borderId="2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1">
    <dxf>
      <fill>
        <patternFill>
          <bgColor rgb="00FFE9C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worksheets/sheet1.xml" Id="rId1" /><Relationship Type="http://schemas.openxmlformats.org/officeDocument/2006/relationships/worksheet" Target="worksheets/sheet2.xml" Id="rId2" /><Relationship Type="http://schemas.openxmlformats.org/officeDocument/2006/relationships/worksheet" Target="worksheets/sheet3.xml" Id="rId3" /><Relationship Type="http://schemas.openxmlformats.org/officeDocument/2006/relationships/worksheet" Target="worksheets/sheet4.xml" Id="rId4" /><Relationship Type="http://schemas.openxmlformats.org/officeDocument/2006/relationships/worksheet" Target="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:chartSpace xmlns:a="http://schemas.openxmlformats.org/drawingml/2006/main" xmlns:c="http://schemas.openxmlformats.org/drawingml/2006/chart">
  <c:style val="2"/>
  <c:chart>
    <c:title>
      <c:tx>
        <c:rich>
          <a:bodyPr/>
          <a:p>
            <a:pPr>
              <a:defRPr/>
            </a:pPr>
            <a:r>
              <a:t>Entrate, uscite e saldo 2026</a:t>
            </a:r>
          </a:p>
        </c:rich>
      </c:tx>
    </c:title>
    <c:plotArea>
      <c:lineChart>
        <c:grouping val="standard"/>
        <c:ser>
          <c:idx val="0"/>
          <c:order val="0"/>
          <c:tx>
            <c:strRef>
              <c:f>'Bilancio'!B1</c:f>
            </c:strRef>
          </c:tx>
          <c:spPr>
            <a:ln>
              <a:prstDash val="solid"/>
            </a:ln>
          </c:spPr>
          <c:marker>
            <c:symbol val="none"/>
            <c:spPr>
              <a:ln>
                <a:prstDash val="solid"/>
              </a:ln>
            </c:spPr>
          </c:marker>
          <c:cat>
            <c:numRef>
              <c:f>'Bilancio'!$A$2:$A$13</c:f>
            </c:numRef>
          </c:cat>
          <c:val>
            <c:numRef>
              <c:f>'Bilancio'!$B$2:$B$13</c:f>
            </c:numRef>
          </c:val>
        </c:ser>
        <c:ser>
          <c:idx val="1"/>
          <c:order val="1"/>
          <c:tx>
            <c:strRef>
              <c:f>'Bilancio'!C1</c:f>
            </c:strRef>
          </c:tx>
          <c:spPr>
            <a:ln>
              <a:prstDash val="solid"/>
            </a:ln>
          </c:spPr>
          <c:marker>
            <c:symbol val="none"/>
            <c:spPr>
              <a:ln>
                <a:prstDash val="solid"/>
              </a:ln>
            </c:spPr>
          </c:marker>
          <c:cat>
            <c:numRef>
              <c:f>'Bilancio'!$A$2:$A$13</c:f>
            </c:numRef>
          </c:cat>
          <c:val>
            <c:numRef>
              <c:f>'Bilancio'!$C$2:$C$13</c:f>
            </c:numRef>
          </c:val>
        </c:ser>
        <c:ser>
          <c:idx val="2"/>
          <c:order val="2"/>
          <c:tx>
            <c:strRef>
              <c:f>'Bilancio'!D1</c:f>
            </c:strRef>
          </c:tx>
          <c:spPr>
            <a:ln>
              <a:prstDash val="solid"/>
            </a:ln>
          </c:spPr>
          <c:marker>
            <c:symbol val="none"/>
            <c:spPr>
              <a:ln>
                <a:prstDash val="solid"/>
              </a:ln>
            </c:spPr>
          </c:marker>
          <c:cat>
            <c:numRef>
              <c:f>'Bilancio'!$A$2:$A$13</c:f>
            </c:numRef>
          </c:cat>
          <c:val>
            <c:numRef>
              <c:f>'Bilancio'!$D$2:$D$13</c:f>
            </c:numRef>
          </c:val>
        </c:ser>
        <c:axId val="10"/>
        <c:axId val="100"/>
      </c:lineChart>
      <c:catAx>
        <c:axId val="10"/>
        <c:scaling>
          <c:orientation val="minMax"/>
        </c:scaling>
        <c:axPos val="l"/>
        <c:title>
          <c:tx>
            <c:rich>
              <a:bodyPr/>
              <a:p>
                <a:pPr>
                  <a:defRPr/>
                </a:pPr>
                <a:r>
                  <a:t>Mese</a:t>
                </a:r>
              </a:p>
            </c:rich>
          </c:tx>
        </c:title>
        <c:majorTickMark val="none"/>
        <c:minorTickMark val="none"/>
        <c:crossAx val="100"/>
        <c:lblOffset val="100"/>
      </c:catAx>
      <c:valAx>
        <c:axId val="100"/>
        <c:scaling>
          <c:orientation val="minMax"/>
        </c:scaling>
        <c:axPos val="l"/>
        <c:majorGridlines/>
        <c:title>
          <c:tx>
            <c:rich>
              <a:bodyPr/>
              <a:p>
                <a:pPr>
                  <a:defRPr/>
                </a:pPr>
                <a:r>
                  <a:t>Euro</a:t>
                </a:r>
              </a:p>
            </c:rich>
          </c:tx>
        </c:title>
        <c:majorTickMark val="none"/>
        <c:minorTickMark val="none"/>
        <c:crossAx val="10"/>
      </c:valAx>
    </c:plotArea>
    <c:legend>
      <c:legendPos val="r"/>
    </c:legend>
    <c:plotVisOnly val="1"/>
    <c:dispBlanksAs val="gap"/>
  </c:chart>
</c:chartSpace>
</file>

<file path=xl/charts/chart2.xml><?xml version="1.0" encoding="utf-8"?>
<c:chartSpace xmlns:a="http://schemas.openxmlformats.org/drawingml/2006/main" xmlns:c="http://schemas.openxmlformats.org/drawingml/2006/chart">
  <c:chart>
    <c:title>
      <c:tx>
        <c:rich>
          <a:bodyPr/>
          <a:p>
            <a:pPr>
              <a:defRPr/>
            </a:pPr>
            <a:r>
              <a:t>Vendite per categoria</a:t>
            </a:r>
          </a:p>
        </c:rich>
      </c:tx>
    </c:title>
    <c:plotArea>
      <c:pieChart>
        <c:varyColors val="1"/>
        <c:ser>
          <c:idx val="0"/>
          <c:order val="0"/>
          <c:tx>
            <c:strRef>
              <c:f>'Grafici'!B1</c:f>
            </c:strRef>
          </c:tx>
          <c:spPr>
            <a:ln>
              <a:prstDash val="solid"/>
            </a:ln>
          </c:spPr>
          <c:cat>
            <c:numRef>
              <c:f>'Grafici'!$A$2:$A$5</c:f>
            </c:numRef>
          </c:cat>
          <c:val>
            <c:numRef>
              <c:f>'Grafici'!$B$2:$B$5</c:f>
            </c:numRef>
          </c:val>
        </c:ser>
        <c:firstSliceAng val="0"/>
      </c:pieChart>
    </c:plotArea>
    <c:legend>
      <c:legendPos val="r"/>
    </c:legend>
    <c:plotVisOnly val="1"/>
    <c:dispBlanksAs val="gap"/>
  </c:chart>
</c:chartSpace>
</file>

<file path=xl/charts/chart3.xml><?xml version="1.0" encoding="utf-8"?>
<c:chartSpace xmlns:a="http://schemas.openxmlformats.org/drawingml/2006/main" xmlns:c="http://schemas.openxmlformats.org/drawingml/2006/chart">
  <c:chart>
    <c:title>
      <c:tx>
        <c:rich>
          <a:bodyPr/>
          <a:p>
            <a:pPr>
              <a:defRPr/>
            </a:pPr>
            <a:r>
              <a:t>Vendite per categoria</a:t>
            </a:r>
          </a:p>
        </c:rich>
      </c:tx>
    </c:title>
    <c:plotArea>
      <c:barChart>
        <c:barDir val="col"/>
        <c:grouping val="clustered"/>
        <c:ser>
          <c:idx val="0"/>
          <c:order val="0"/>
          <c:tx>
            <c:strRef>
              <c:f>'Grafici'!B1</c:f>
            </c:strRef>
          </c:tx>
          <c:spPr>
            <a:ln>
              <a:prstDash val="solid"/>
            </a:ln>
          </c:spPr>
          <c:cat>
            <c:numRef>
              <c:f>'Grafici'!$A$2:$A$5</c:f>
            </c:numRef>
          </c:cat>
          <c:val>
            <c:numRef>
              <c:f>'Grafici'!$B$2:$B$5</c:f>
            </c:numRef>
          </c:val>
        </c:ser>
        <c:gapWidth val="150"/>
        <c:axId val="10"/>
        <c:axId val="100"/>
      </c:barChart>
      <c:catAx>
        <c:axId val="10"/>
        <c:scaling>
          <c:orientation val="minMax"/>
        </c:scaling>
        <c:axPos val="l"/>
        <c:majorTickMark val="none"/>
        <c:minorTickMark val="none"/>
        <c:crossAx val="100"/>
        <c:lblOffset val="100"/>
      </c:catAx>
      <c:valAx>
        <c:axId val="100"/>
        <c:scaling>
          <c:orientation val="minMax"/>
        </c:scaling>
        <c:axPos val="l"/>
        <c:majorGridlines/>
        <c:title>
          <c:tx>
            <c:rich>
              <a:bodyPr/>
              <a:p>
                <a:pPr>
                  <a:defRPr/>
                </a:pPr>
                <a:r>
                  <a:t>Euro</a:t>
                </a:r>
              </a:p>
            </c:rich>
          </c:tx>
        </c:title>
        <c:majorTickMark val="none"/>
        <c:minorTickMark val="none"/>
        <c:crossAx val="10"/>
      </c:valAx>
    </c:plotArea>
    <c:legend>
      <c:legendPos val="r"/>
    </c:legend>
    <c:plotVisOnly val="1"/>
    <c:dispBlanksAs val="gap"/>
  </c:chart>
</c:chartSpace>
</file>

<file path=xl/comments/comment1.xml><?xml version="1.0" encoding="utf-8"?>
<comments xmlns="http://schemas.openxmlformats.org/spreadsheetml/2006/main">
  <authors>
    <author>Atomo123</author>
  </authors>
  <commentList>
    <comment ref="F1" authorId="0" shapeId="0">
      <text>
        <t>Calcolato automaticamente come Prezzo x Quantita'.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..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../charts/chart2.xml" Id="rId1" /><Relationship Type="http://schemas.openxmlformats.org/officeDocument/2006/relationships/chart" Target="../charts/chart3.xml" Id="rId2" /></Relationships>
</file>

<file path=xl/drawings/drawing1.xml><?xml version="1.0" encoding="utf-8"?>
<xdr:wsDr xmlns:a="http://schemas.openxmlformats.org/drawingml/2006/main" xmlns:c="http://schemas.openxmlformats.org/drawingml/2006/chart" xmlns:r="http://schemas.openxmlformats.org/officeDocument/2006/relationships" xmlns:xdr="http://schemas.openxmlformats.org/drawingml/2006/spreadsheetDrawing">
  <xdr:oneCellAnchor>
    <xdr:from>
      <xdr:col>5</xdr:col>
      <xdr:colOff>0</xdr:colOff>
      <xdr:row>1</xdr:row>
      <xdr:rowOff>0</xdr:rowOff>
    </xdr:from>
    <xdr:ext cx="6480000" cy="3600000"/>
    <xdr:graphicFrame>
      <xdr:nvGraphicFramePr>
        <xdr:cNvPr id="1" name="Chart 1"/>
        <xdr:cNvGraphicFramePr/>
      </xdr:nvGraphicFramePr>
      <xdr:xfrm/>
      <a:graphic>
        <a:graphicData uri="http://schemas.openxmlformats.org/drawingml/2006/chart">
          <c:chart r:id="rId1"/>
        </a:graphicData>
      </a:graphic>
    </xdr:graphicFrame>
    <xdr:clientData/>
  </xdr:oneCellAnchor>
</xdr:wsDr>
</file>

<file path=xl/drawings/drawing2.xml><?xml version="1.0" encoding="utf-8"?>
<xdr:wsDr xmlns:a="http://schemas.openxmlformats.org/drawingml/2006/main" xmlns:c="http://schemas.openxmlformats.org/drawingml/2006/chart" xmlns:r="http://schemas.openxmlformats.org/officeDocument/2006/relationships" xmlns:xdr="http://schemas.openxmlformats.org/drawingml/2006/spreadsheetDrawing">
  <xdr:oneCellAnchor>
    <xdr:from>
      <xdr:col>3</xdr:col>
      <xdr:colOff>0</xdr:colOff>
      <xdr:row>1</xdr:row>
      <xdr:rowOff>0</xdr:rowOff>
    </xdr:from>
    <xdr:ext cx="5040000" cy="3240000"/>
    <xdr:graphicFrame>
      <xdr:nvGraphicFramePr>
        <xdr:cNvPr id="1" name="Chart 1"/>
        <xdr:cNvGraphicFramePr/>
      </xdr:nvGraphicFramePr>
      <xdr:xfrm/>
      <a:graphic>
        <a:graphicData uri="http://schemas.openxmlformats.org/drawingml/2006/chart">
          <c:chart r:id="rId1"/>
        </a:graphicData>
      </a:graphic>
    </xdr:graphicFrame>
    <xdr:clientData/>
  </xdr:oneCellAnchor>
  <xdr:oneCellAnchor>
    <xdr:from>
      <xdr:col>3</xdr:col>
      <xdr:colOff>0</xdr:colOff>
      <xdr:row>18</xdr:row>
      <xdr:rowOff>0</xdr:rowOff>
    </xdr:from>
    <xdr:ext cx="5040000" cy="3240000"/>
    <xdr:graphicFrame>
      <xdr:nvGraphicFramePr>
        <xdr:cNvPr id="2" name="Chart 2"/>
        <xdr:cNvGraphicFramePr/>
      </xdr:nvGraphicFramePr>
      <xdr:xfrm/>
      <a:graphic>
        <a:graphicData uri="http://schemas.openxmlformats.org/drawingml/2006/chart">
          <c:chart r:id="rId2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id="1" name="Prodotti" displayName="Prodotti" ref="A1:F10" headerRowCount="1" totalsRowCount="1">
  <tableColumns count="6">
    <tableColumn id="1" name="Codice"/>
    <tableColumn id="2" name="Prodotto"/>
    <tableColumn id="3" name="Categoria"/>
    <tableColumn id="4" name="Prezzo"/>
    <tableColumn id="5" name="Quantita'"/>
    <tableColumn id="6" name="Totale" totalsRowFunction="sum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..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../tables/table1.xml" Id="rId1" /><Relationship Type="http://schemas.openxmlformats.org/officeDocument/2006/relationships/comments" Target="../comments/comment1.xml" Id="comments" /><Relationship Type="http://schemas.openxmlformats.org/officeDocument/2006/relationships/vmlDrawing" Target="..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..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58" customWidth="1" min="3" max="3"/>
  </cols>
  <sheetData>
    <row r="2" ht="40" customHeight="1">
      <c r="B2" s="1" t="inlineStr">
        <is>
          <t>Benvenuto in Atomo123</t>
        </is>
      </c>
    </row>
    <row r="3" ht="22" customHeight="1">
      <c r="B3" s="2" t="inlineStr">
        <is>
          <t>Il foglio di calcolo nativo per Haiku OS</t>
        </is>
      </c>
    </row>
    <row r="5">
      <c r="B5" s="3" t="inlineStr">
        <is>
          <t>Questo file e' installato insieme all'applicazione ed e' un breve giro fra le sue funzionalita':</t>
        </is>
      </c>
    </row>
    <row r="7">
      <c r="B7" s="4" t="inlineStr">
        <is>
          <t>Bilancio</t>
        </is>
      </c>
      <c r="C7" s="5" t="inlineStr">
        <is>
          <t>Formule, un nome definito, formattazione condizionale a scala di colori, blocca riquadri, un grafico a linee</t>
        </is>
      </c>
    </row>
    <row r="8">
      <c r="B8" s="4" t="inlineStr">
        <is>
          <t>Prodotti</t>
        </is>
      </c>
      <c r="C8" s="5" t="inlineStr">
        <is>
          <t>Una vera tabella strutturata Excel con riga totali, convalida dati a elenco, un commento</t>
        </is>
      </c>
    </row>
    <row r="9">
      <c r="B9" s="4" t="inlineStr">
        <is>
          <t>Grafici</t>
        </is>
      </c>
      <c r="C9" s="5" t="inlineStr">
        <is>
          <t>Grafico a barre e a torta</t>
        </is>
      </c>
    </row>
    <row r="10">
      <c r="B10" s="4" t="inlineStr">
        <is>
          <t>Funzioni avanzate</t>
        </is>
      </c>
      <c r="C10" s="5" t="inlineStr">
        <is>
          <t>UNIQUE, SORT, FILTER, SEQUENCE, INDEX/MATCH, un riferimento fra fogli diversi</t>
        </is>
      </c>
    </row>
    <row r="12">
      <c r="B12" s="6" t="inlineStr">
        <is>
          <t>Aperto/salvato/modificato tutto qui, senza toccare Excel o LibreOffice.</t>
        </is>
      </c>
    </row>
  </sheetData>
  <mergeCells count="4">
    <mergeCell ref="B3:C3"/>
    <mergeCell ref="B5:C5"/>
    <mergeCell ref="B2:C2"/>
    <mergeCell ref="B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</cols>
  <sheetData>
    <row r="1">
      <c r="A1" s="7" t="inlineStr">
        <is>
          <t>Mese</t>
        </is>
      </c>
      <c r="B1" s="7" t="inlineStr">
        <is>
          <t>Entrate</t>
        </is>
      </c>
      <c r="C1" s="7" t="inlineStr">
        <is>
          <t>Uscite</t>
        </is>
      </c>
      <c r="D1" s="7" t="inlineStr">
        <is>
          <t>Saldo</t>
        </is>
      </c>
    </row>
    <row r="2">
      <c r="A2" s="8" t="inlineStr">
        <is>
          <t>Gennaio</t>
        </is>
      </c>
      <c r="B2" s="9" t="n">
        <v>2400</v>
      </c>
      <c r="C2" s="9" t="n">
        <v>1800</v>
      </c>
      <c r="D2" s="9">
        <f>B2-C2</f>
        <v/>
      </c>
    </row>
    <row r="3">
      <c r="A3" s="8" t="inlineStr">
        <is>
          <t>Febbraio</t>
        </is>
      </c>
      <c r="B3" s="9" t="n">
        <v>2400</v>
      </c>
      <c r="C3" s="9" t="n">
        <v>2000</v>
      </c>
      <c r="D3" s="9">
        <f>B3-C3</f>
        <v/>
      </c>
    </row>
    <row r="4">
      <c r="A4" s="8" t="inlineStr">
        <is>
          <t>Marzo</t>
        </is>
      </c>
      <c r="B4" s="9" t="n">
        <v>2600</v>
      </c>
      <c r="C4" s="9" t="n">
        <v>1700</v>
      </c>
      <c r="D4" s="9">
        <f>B4-C4</f>
        <v/>
      </c>
    </row>
    <row r="5">
      <c r="A5" s="8" t="inlineStr">
        <is>
          <t>Aprile</t>
        </is>
      </c>
      <c r="B5" s="9" t="n">
        <v>2400</v>
      </c>
      <c r="C5" s="9" t="n">
        <v>2300</v>
      </c>
      <c r="D5" s="9">
        <f>B5-C5</f>
        <v/>
      </c>
    </row>
    <row r="6">
      <c r="A6" s="8" t="inlineStr">
        <is>
          <t>Maggio</t>
        </is>
      </c>
      <c r="B6" s="9" t="n">
        <v>2900</v>
      </c>
      <c r="C6" s="9" t="n">
        <v>1900</v>
      </c>
      <c r="D6" s="9">
        <f>B6-C6</f>
        <v/>
      </c>
    </row>
    <row r="7">
      <c r="A7" s="8" t="inlineStr">
        <is>
          <t>Giugno</t>
        </is>
      </c>
      <c r="B7" s="9" t="n">
        <v>2400</v>
      </c>
      <c r="C7" s="9" t="n">
        <v>2600</v>
      </c>
      <c r="D7" s="9">
        <f>B7-C7</f>
        <v/>
      </c>
    </row>
    <row r="8">
      <c r="A8" s="8" t="inlineStr">
        <is>
          <t>Luglio</t>
        </is>
      </c>
      <c r="B8" s="9" t="n">
        <v>2400</v>
      </c>
      <c r="C8" s="9" t="n">
        <v>2100</v>
      </c>
      <c r="D8" s="9">
        <f>B8-C8</f>
        <v/>
      </c>
    </row>
    <row r="9">
      <c r="A9" s="8" t="inlineStr">
        <is>
          <t>Agosto</t>
        </is>
      </c>
      <c r="B9" s="9" t="n">
        <v>1800</v>
      </c>
      <c r="C9" s="9" t="n">
        <v>1500</v>
      </c>
      <c r="D9" s="9">
        <f>B9-C9</f>
        <v/>
      </c>
    </row>
    <row r="10">
      <c r="A10" s="8" t="inlineStr">
        <is>
          <t>Settembre</t>
        </is>
      </c>
      <c r="B10" s="9" t="n">
        <v>2500</v>
      </c>
      <c r="C10" s="9" t="n">
        <v>1900</v>
      </c>
      <c r="D10" s="9">
        <f>B10-C10</f>
        <v/>
      </c>
    </row>
    <row r="11">
      <c r="A11" s="8" t="inlineStr">
        <is>
          <t>Ottobre</t>
        </is>
      </c>
      <c r="B11" s="9" t="n">
        <v>2400</v>
      </c>
      <c r="C11" s="9" t="n">
        <v>2000</v>
      </c>
      <c r="D11" s="9">
        <f>B11-C11</f>
        <v/>
      </c>
    </row>
    <row r="12">
      <c r="A12" s="8" t="inlineStr">
        <is>
          <t>Novembre</t>
        </is>
      </c>
      <c r="B12" s="9" t="n">
        <v>2400</v>
      </c>
      <c r="C12" s="9" t="n">
        <v>2200</v>
      </c>
      <c r="D12" s="9">
        <f>B12-C12</f>
        <v/>
      </c>
    </row>
    <row r="13">
      <c r="A13" s="8" t="inlineStr">
        <is>
          <t>Dicembre</t>
        </is>
      </c>
      <c r="B13" s="9" t="n">
        <v>3200</v>
      </c>
      <c r="C13" s="9" t="n">
        <v>2800</v>
      </c>
      <c r="D13" s="9">
        <f>B13-C13</f>
        <v/>
      </c>
    </row>
    <row r="14">
      <c r="A14" s="10" t="inlineStr">
        <is>
          <t>Totale annuale</t>
        </is>
      </c>
      <c r="B14" s="11">
        <f>SUM(Entrate2026)</f>
        <v/>
      </c>
      <c r="C14" s="11">
        <f>SUM(C2:C13)</f>
        <v/>
      </c>
      <c r="D14" s="11">
        <f>B14-C14</f>
        <v/>
      </c>
    </row>
  </sheetData>
  <conditionalFormatting sqref="D2:D1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5" customWidth="1" min="3" max="3"/>
    <col width="12" customWidth="1" min="4" max="4"/>
    <col width="12" customWidth="1" min="5" max="5"/>
    <col width="13" customWidth="1" min="6" max="6"/>
  </cols>
  <sheetData>
    <row r="1">
      <c r="A1" t="inlineStr">
        <is>
          <t>Codice</t>
        </is>
      </c>
      <c r="B1" t="inlineStr">
        <is>
          <t>Prodotto</t>
        </is>
      </c>
      <c r="C1" t="inlineStr">
        <is>
          <t>Categoria</t>
        </is>
      </c>
      <c r="D1" t="inlineStr">
        <is>
          <t>Prezzo</t>
        </is>
      </c>
      <c r="E1" t="inlineStr">
        <is>
          <t>Quantita'</t>
        </is>
      </c>
      <c r="F1" t="inlineStr">
        <is>
          <t>Totale</t>
        </is>
      </c>
    </row>
    <row r="2">
      <c r="A2" t="inlineStr">
        <is>
          <t>P001</t>
        </is>
      </c>
      <c r="B2" t="inlineStr">
        <is>
          <t>Tastiera meccanica</t>
        </is>
      </c>
      <c r="C2" t="inlineStr">
        <is>
          <t>Elettronica</t>
        </is>
      </c>
      <c r="D2" s="12" t="n">
        <v>79.90000000000001</v>
      </c>
      <c r="E2" t="n">
        <v>12</v>
      </c>
      <c r="F2" s="12">
        <f>D2*E2</f>
        <v/>
      </c>
    </row>
    <row r="3">
      <c r="A3" t="inlineStr">
        <is>
          <t>P002</t>
        </is>
      </c>
      <c r="B3" t="inlineStr">
        <is>
          <t>Mouse ottico</t>
        </is>
      </c>
      <c r="C3" t="inlineStr">
        <is>
          <t>Elettronica</t>
        </is>
      </c>
      <c r="D3" s="12" t="n">
        <v>19.9</v>
      </c>
      <c r="E3" t="n">
        <v>30</v>
      </c>
      <c r="F3" s="12">
        <f>D3*E3</f>
        <v/>
      </c>
    </row>
    <row r="4">
      <c r="A4" t="inlineStr">
        <is>
          <t>P003</t>
        </is>
      </c>
      <c r="B4" t="inlineStr">
        <is>
          <t>Sedia da ufficio</t>
        </is>
      </c>
      <c r="C4" t="inlineStr">
        <is>
          <t>Casa</t>
        </is>
      </c>
      <c r="D4" s="12" t="n">
        <v>149</v>
      </c>
      <c r="E4" t="n">
        <v>6</v>
      </c>
      <c r="F4" s="12">
        <f>D4*E4</f>
        <v/>
      </c>
    </row>
    <row r="5">
      <c r="A5" t="inlineStr">
        <is>
          <t>P004</t>
        </is>
      </c>
      <c r="B5" t="inlineStr">
        <is>
          <t>Scrivania regolabile</t>
        </is>
      </c>
      <c r="C5" t="inlineStr">
        <is>
          <t>Casa</t>
        </is>
      </c>
      <c r="D5" s="12" t="n">
        <v>259</v>
      </c>
      <c r="E5" t="n">
        <v>4</v>
      </c>
      <c r="F5" s="12">
        <f>D5*E5</f>
        <v/>
      </c>
    </row>
    <row r="6">
      <c r="A6" t="inlineStr">
        <is>
          <t>P005</t>
        </is>
      </c>
      <c r="B6" t="inlineStr">
        <is>
          <t>Caffe' macinato 1kg</t>
        </is>
      </c>
      <c r="C6" t="inlineStr">
        <is>
          <t>Alimentari</t>
        </is>
      </c>
      <c r="D6" s="12" t="n">
        <v>9.9</v>
      </c>
      <c r="E6" t="n">
        <v>50</v>
      </c>
      <c r="F6" s="12">
        <f>D6*E6</f>
        <v/>
      </c>
    </row>
    <row r="7">
      <c r="A7" t="inlineStr">
        <is>
          <t>P006</t>
        </is>
      </c>
      <c r="B7" t="inlineStr">
        <is>
          <t>The' verde 20 filtri</t>
        </is>
      </c>
      <c r="C7" t="inlineStr">
        <is>
          <t>Alimentari</t>
        </is>
      </c>
      <c r="D7" s="12" t="n">
        <v>3.5</v>
      </c>
      <c r="E7" t="n">
        <v>40</v>
      </c>
      <c r="F7" s="12">
        <f>D7*E7</f>
        <v/>
      </c>
    </row>
    <row r="8">
      <c r="A8" t="inlineStr">
        <is>
          <t>P007</t>
        </is>
      </c>
      <c r="B8" t="inlineStr">
        <is>
          <t>Zaino porta PC</t>
        </is>
      </c>
      <c r="C8" t="inlineStr">
        <is>
          <t>Abbigliamento</t>
        </is>
      </c>
      <c r="D8" s="12" t="n">
        <v>39.9</v>
      </c>
      <c r="E8" t="n">
        <v>15</v>
      </c>
      <c r="F8" s="12">
        <f>D8*E8</f>
        <v/>
      </c>
    </row>
    <row r="9">
      <c r="A9" t="inlineStr">
        <is>
          <t>P008</t>
        </is>
      </c>
      <c r="B9" t="inlineStr">
        <is>
          <t>Felpa con cappuccio</t>
        </is>
      </c>
      <c r="C9" t="inlineStr">
        <is>
          <t>Abbigliamento</t>
        </is>
      </c>
      <c r="D9" s="12" t="n">
        <v>34.9</v>
      </c>
      <c r="E9" t="n">
        <v>20</v>
      </c>
      <c r="F9" s="12">
        <f>D9*E9</f>
        <v/>
      </c>
    </row>
    <row r="10">
      <c r="A10" t="inlineStr">
        <is>
          <t>Totale</t>
        </is>
      </c>
      <c r="F10" s="12">
        <f>SUBTOTAL(109,Prodotti[Totale])</f>
        <v/>
      </c>
    </row>
  </sheetData>
  <conditionalFormatting sqref="C2:C9">
    <cfRule type="duplicateValues" priority="1" dxfId="0"/>
  </conditionalFormatting>
  <dataValidations count="1">
    <dataValidation sqref="C2:C9" showDropDown="0" showInputMessage="0" showErrorMessage="0" allowBlank="1" error="Scegli una categoria dall'elenco" prompt="Seleziona una categoria" type="list">
      <formula1>"Elettronica,Casa,Alimentari,Abbigliamento"</formula1>
    </dataValidation>
  </dataValidations>
  <pageMargins left="1.5" right="1.5" top="2" bottom="2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6" customWidth="1" min="1" max="1"/>
  </cols>
  <sheetData>
    <row r="1">
      <c r="A1" t="inlineStr">
        <is>
          <t>Categoria</t>
        </is>
      </c>
      <c r="B1" t="inlineStr">
        <is>
          <t>Vendite</t>
        </is>
      </c>
    </row>
    <row r="2">
      <c r="A2" t="inlineStr">
        <is>
          <t>Elettronica</t>
        </is>
      </c>
      <c r="B2" t="n">
        <v>5380</v>
      </c>
    </row>
    <row r="3">
      <c r="A3" t="inlineStr">
        <is>
          <t>Casa</t>
        </is>
      </c>
      <c r="B3" t="n">
        <v>1930</v>
      </c>
    </row>
    <row r="4">
      <c r="A4" t="inlineStr">
        <is>
          <t>Alimentari</t>
        </is>
      </c>
      <c r="B4" t="n">
        <v>635</v>
      </c>
    </row>
    <row r="5">
      <c r="A5" t="inlineStr">
        <is>
          <t>Abbigliamento</t>
        </is>
      </c>
      <c r="B5" t="n">
        <v>1295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RowHeight="15"/>
  <cols>
    <col width="28" customWidth="1" min="1" max="1"/>
    <col width="10" customWidth="1" min="2" max="2"/>
    <col width="14" customWidth="1" min="3" max="3"/>
    <col width="20" customWidth="1" min="4" max="4"/>
    <col width="24" customWidth="1" min="6" max="6"/>
    <col width="20" customWidth="1" min="9" max="9"/>
    <col width="14" customWidth="1" min="11" max="11"/>
  </cols>
  <sheetData>
    <row r="1">
      <c r="A1" t="inlineStr">
        <is>
          <t>Nome</t>
        </is>
      </c>
      <c r="B1" t="inlineStr">
        <is>
          <t>Punteggio</t>
        </is>
      </c>
      <c r="D1" t="inlineStr">
        <is>
          <t>Nomi unici (UNIQUE)</t>
        </is>
      </c>
      <c r="F1" t="inlineStr">
        <is>
          <t>Ordinati per punteggio (SORT)</t>
        </is>
      </c>
      <c r="I1" t="inlineStr">
        <is>
          <t>Punteggio &gt;= 20 (FILTER)</t>
        </is>
      </c>
      <c r="K1" t="inlineStr">
        <is>
          <t>Sequenza (SEQUENCE)</t>
        </is>
      </c>
    </row>
    <row r="2">
      <c r="A2" t="inlineStr">
        <is>
          <t>Marco</t>
        </is>
      </c>
      <c r="B2" t="n">
        <v>18</v>
      </c>
      <c r="D2">
        <f>_xlfn.UNIQUE(A2:A8)</f>
        <v/>
      </c>
      <c r="F2">
        <f>_xlfn.SORT(A2:B8,2,-1)</f>
        <v/>
      </c>
      <c r="I2">
        <f>_xlfn._xlws.FILTER(A2:A8,B2:B8&gt;=20)</f>
        <v/>
      </c>
      <c r="K2">
        <f>_xlfn.SEQUENCE(5)</f>
        <v/>
      </c>
    </row>
    <row r="3">
      <c r="A3" t="inlineStr">
        <is>
          <t>Giulia</t>
        </is>
      </c>
      <c r="B3" t="n">
        <v>25</v>
      </c>
    </row>
    <row r="4">
      <c r="A4" t="inlineStr">
        <is>
          <t>Marco</t>
        </is>
      </c>
      <c r="B4" t="n">
        <v>18</v>
      </c>
    </row>
    <row r="5">
      <c r="A5" t="inlineStr">
        <is>
          <t>Elena</t>
        </is>
      </c>
      <c r="B5" t="n">
        <v>30</v>
      </c>
    </row>
    <row r="6">
      <c r="A6" t="inlineStr">
        <is>
          <t>Luca</t>
        </is>
      </c>
      <c r="B6" t="n">
        <v>12</v>
      </c>
    </row>
    <row r="7">
      <c r="A7" t="inlineStr">
        <is>
          <t>Giulia</t>
        </is>
      </c>
      <c r="B7" t="n">
        <v>25</v>
      </c>
    </row>
    <row r="8">
      <c r="A8" t="inlineStr">
        <is>
          <t>Sara</t>
        </is>
      </c>
      <c r="B8" t="n">
        <v>27</v>
      </c>
    </row>
    <row r="11">
      <c r="A11" t="inlineStr">
        <is>
          <t>Punteggio di Elena (INDEX/MATCH):</t>
        </is>
      </c>
      <c r="C11">
        <f>INDEX(B2:B8,MATCH("Elena",A2:A8,0))</f>
        <v/>
      </c>
    </row>
    <row r="13">
      <c r="A13" t="inlineStr">
        <is>
          <t>Saldo annuale (dal foglio 'Bilancio'):</t>
        </is>
      </c>
      <c r="C13" s="12">
        <f>Bilancio!B14-Bilancio!C14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Atomo123</dc:creator>
  <dc:title>Benvenuto in Atomo123</dc:title>
  <dc:description>File dimostrativo installato insieme ad Atomo123, il foglio di calcolo nativo per Haiku OS.</dc:description>
  <dc:subject>File dimostrativo</dc:subject>
  <dcterms:created xsi:type="dcterms:W3CDTF">2026-09-12T08:03:32Z</dcterms:created>
  <dcterms:modified xsi:type="dcterms:W3CDTF">2026-09-12T08:03:32Z</dcterms:modified>
</cp:coreProperties>
</file>